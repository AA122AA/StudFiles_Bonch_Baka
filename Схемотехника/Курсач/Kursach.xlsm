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rtem/Documents/Labs/3 курс/StudFiles/Схемотехника/Курсач/"/>
    </mc:Choice>
  </mc:AlternateContent>
  <bookViews>
    <workbookView xWindow="240" yWindow="460" windowWidth="27140" windowHeight="16020"/>
  </bookViews>
  <sheets>
    <sheet name="Расчёт" sheetId="4" r:id="rId1"/>
    <sheet name="Таблицы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" i="4" l="1"/>
  <c r="M43" i="4"/>
  <c r="C43" i="4"/>
  <c r="M7" i="4"/>
  <c r="H19" i="4"/>
  <c r="C30" i="4"/>
  <c r="C41" i="4"/>
  <c r="C44" i="4"/>
  <c r="H15" i="4"/>
  <c r="H14" i="4"/>
  <c r="M39" i="4"/>
  <c r="M21" i="4"/>
  <c r="M24" i="4"/>
  <c r="M29" i="4"/>
  <c r="C32" i="4"/>
  <c r="C42" i="4"/>
  <c r="H11" i="4"/>
  <c r="H12" i="4"/>
  <c r="R28" i="4"/>
  <c r="R29" i="4"/>
  <c r="R33" i="4"/>
  <c r="C10" i="4"/>
  <c r="C9" i="4"/>
  <c r="M20" i="4"/>
  <c r="M22" i="4"/>
  <c r="M23" i="4"/>
  <c r="C8" i="4"/>
  <c r="M19" i="4"/>
  <c r="C34" i="4"/>
  <c r="M27" i="4"/>
  <c r="C25" i="4"/>
  <c r="R6" i="4"/>
  <c r="R10" i="4"/>
  <c r="M10" i="4"/>
  <c r="M9" i="4"/>
  <c r="H13" i="4"/>
  <c r="H10" i="4"/>
  <c r="H9" i="4"/>
  <c r="H8" i="4"/>
  <c r="H7" i="4"/>
  <c r="M36" i="4"/>
  <c r="R21" i="4"/>
  <c r="R22" i="4"/>
  <c r="R32" i="4"/>
  <c r="R30" i="4"/>
  <c r="H37" i="4"/>
  <c r="R31" i="4"/>
  <c r="M37" i="4"/>
  <c r="M40" i="4"/>
  <c r="M42" i="4"/>
  <c r="C35" i="4"/>
  <c r="H21" i="4"/>
  <c r="C31" i="4"/>
  <c r="R7" i="4"/>
  <c r="R9" i="4"/>
  <c r="R8" i="4"/>
  <c r="C7" i="4"/>
  <c r="M38" i="4"/>
  <c r="M41" i="4"/>
  <c r="H36" i="4"/>
  <c r="C40" i="4"/>
  <c r="R27" i="4"/>
  <c r="C39" i="4"/>
  <c r="R24" i="4"/>
  <c r="M25" i="4"/>
  <c r="C33" i="4"/>
  <c r="R23" i="4"/>
  <c r="R26" i="4"/>
  <c r="C38" i="4"/>
  <c r="C37" i="4"/>
  <c r="C36" i="4"/>
</calcChain>
</file>

<file path=xl/sharedStrings.xml><?xml version="1.0" encoding="utf-8"?>
<sst xmlns="http://schemas.openxmlformats.org/spreadsheetml/2006/main" count="228" uniqueCount="171">
  <si>
    <t>Таблица 1</t>
  </si>
  <si>
    <t>№</t>
  </si>
  <si>
    <t>Параметр</t>
  </si>
  <si>
    <t>Единицы</t>
  </si>
  <si>
    <t>мA</t>
  </si>
  <si>
    <t>мA/B</t>
  </si>
  <si>
    <t>B</t>
  </si>
  <si>
    <t>В</t>
  </si>
  <si>
    <t>Нач. ток стока Ic.нач.</t>
  </si>
  <si>
    <t>Крутизна макс. Smax</t>
  </si>
  <si>
    <t>Напряжение Uотс</t>
  </si>
  <si>
    <t>КП 307А</t>
  </si>
  <si>
    <t>мBт</t>
  </si>
  <si>
    <t>МГц</t>
  </si>
  <si>
    <t>пФ</t>
  </si>
  <si>
    <t>пс</t>
  </si>
  <si>
    <t>КТ339А</t>
  </si>
  <si>
    <t>КТ342Б</t>
  </si>
  <si>
    <t>КТ325А</t>
  </si>
  <si>
    <t>КТ325В</t>
  </si>
  <si>
    <t>КТ355А</t>
  </si>
  <si>
    <t>КТ375А</t>
  </si>
  <si>
    <t>КТ382А</t>
  </si>
  <si>
    <t>КТ315А</t>
  </si>
  <si>
    <t>КТ316В</t>
  </si>
  <si>
    <t>КТ373Г</t>
  </si>
  <si>
    <t>Тип транзистора</t>
  </si>
  <si>
    <t>Таблица 2</t>
  </si>
  <si>
    <t>Таблица 3</t>
  </si>
  <si>
    <t>кГц</t>
  </si>
  <si>
    <r>
      <t>Р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</si>
  <si>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4"/>
        <color theme="0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</si>
  <si>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4"/>
        <color theme="0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</si>
  <si>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</si>
  <si>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</si>
  <si>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4"/>
        <color theme="0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</si>
  <si>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</si>
  <si>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</si>
  <si>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t>КП 307Б</t>
  </si>
  <si>
    <t>КП 307В</t>
  </si>
  <si>
    <t>КП 307Г</t>
  </si>
  <si>
    <t>КП 307Д</t>
  </si>
  <si>
    <t>КП 307Е</t>
  </si>
  <si>
    <t>КП 307Ж</t>
  </si>
  <si>
    <t>Первая цифра варианта</t>
  </si>
  <si>
    <t>Номер</t>
  </si>
  <si>
    <t>Данные Таблицы 1</t>
  </si>
  <si>
    <t>Транзистор</t>
  </si>
  <si>
    <t>мА</t>
  </si>
  <si>
    <t>мА/В</t>
  </si>
  <si>
    <t>Вторая цифра варианта</t>
  </si>
  <si>
    <t>Третья цифра варианта</t>
  </si>
  <si>
    <t>Данные Таблицы 3</t>
  </si>
  <si>
    <t>Данные Таблицы 2</t>
  </si>
  <si>
    <t>Источник питания E0</t>
  </si>
  <si>
    <t>Выходное напряжение U2н</t>
  </si>
  <si>
    <t>Нижняя
fн√2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</si>
  <si>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</si>
  <si>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</si>
  <si>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</si>
  <si>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</si>
  <si>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</si>
  <si>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</si>
  <si>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</si>
  <si>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</si>
  <si>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max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</si>
  <si>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отс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</si>
  <si>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с.нач.</t>
    </r>
  </si>
  <si>
    <t>мВт</t>
  </si>
  <si>
    <t>Вт</t>
  </si>
  <si>
    <t>-</t>
  </si>
  <si>
    <r>
      <t>E</t>
    </r>
    <r>
      <rPr>
        <vertAlign val="subscript"/>
        <sz val="11"/>
        <color theme="1"/>
        <rFont val="Calibri"/>
        <family val="2"/>
        <charset val="204"/>
        <scheme val="minor"/>
      </rPr>
      <t>0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</si>
  <si>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</si>
  <si>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н√2</t>
    </r>
  </si>
  <si>
    <t>Верхняя
fв√2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</si>
  <si>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в√2</t>
    </r>
  </si>
  <si>
    <t>Данные Таблицы 4</t>
  </si>
  <si>
    <t>ОУ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</si>
  <si>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</si>
  <si>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Кф.Ус. ОУ</t>
  </si>
  <si>
    <t>3-я цифра</t>
  </si>
  <si>
    <t>дБ</t>
  </si>
  <si>
    <t>Таблица 4</t>
  </si>
  <si>
    <t xml:space="preserve">Коэффициент усиления ОУ              </t>
  </si>
  <si>
    <t>чётная</t>
  </si>
  <si>
    <t>OPA622</t>
  </si>
  <si>
    <t>нечётная</t>
  </si>
  <si>
    <t>OPA655</t>
  </si>
  <si>
    <r>
      <t>Частота единичного усиления f</t>
    </r>
    <r>
      <rPr>
        <vertAlign val="subscript"/>
        <sz val="11"/>
        <color theme="0"/>
        <rFont val="Calibri"/>
        <family val="2"/>
        <charset val="204"/>
        <scheme val="minor"/>
      </rPr>
      <t xml:space="preserve">1                     </t>
    </r>
  </si>
  <si>
    <t>Тип ОУ</t>
  </si>
  <si>
    <t>Чётность</t>
  </si>
  <si>
    <t>Постоянные значения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</si>
  <si>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</si>
  <si>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зс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</si>
  <si>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</si>
  <si>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m1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</si>
  <si>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</si>
  <si>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t>мкА</t>
  </si>
  <si>
    <t>кОм</t>
  </si>
  <si>
    <t>Расчёт резисторов 
по постоянному току</t>
  </si>
  <si>
    <t>Ом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</si>
  <si>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</si>
  <si>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</si>
  <si>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</si>
  <si>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</si>
  <si>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</si>
  <si>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6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</si>
  <si>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</si>
  <si>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8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</si>
  <si>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9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</si>
  <si>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</si>
  <si>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</si>
  <si>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</si>
  <si>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</si>
  <si>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</si>
  <si>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</si>
  <si>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ак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</si>
  <si>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ут.з.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</si>
  <si>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</si>
  <si>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t>нА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</si>
  <si>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</si>
  <si>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t>А</t>
  </si>
  <si>
    <t>S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</si>
  <si>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</si>
  <si>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</si>
  <si>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си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</si>
  <si>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</t>
    </r>
  </si>
  <si>
    <t>C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</si>
  <si>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д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</si>
  <si>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вх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</si>
  <si>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м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</si>
  <si>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д2</t>
    </r>
  </si>
  <si>
    <t>Пункт 3.1.1</t>
  </si>
  <si>
    <t>Пункт 3.1.2</t>
  </si>
  <si>
    <t>Пункт 3.1.3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</si>
  <si>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</si>
  <si>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</si>
  <si>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кэ,4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</si>
  <si>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</si>
  <si>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</si>
  <si>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</si>
  <si>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бэ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</si>
  <si>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</si>
  <si>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</si>
  <si>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</si>
  <si>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</si>
  <si>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</si>
  <si>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</si>
  <si>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</si>
  <si>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</si>
  <si>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 табличное</t>
    </r>
  </si>
  <si>
    <t>Расчёт с табличным значением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</si>
  <si>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 табличное</t>
    </r>
  </si>
  <si>
    <t>Пункт 3.1.5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</si>
  <si>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11,3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</si>
  <si>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</si>
  <si>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</si>
  <si>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</si>
  <si>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 табличное</t>
    </r>
  </si>
  <si>
    <t>Пункт 4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</si>
  <si>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</si>
  <si>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б,б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</si>
  <si>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</si>
  <si>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б,э4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</si>
  <si>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б,э</t>
    </r>
  </si>
  <si>
    <r>
      <t>K</t>
    </r>
    <r>
      <rPr>
        <vertAlign val="subscript"/>
        <sz val="11"/>
        <color theme="1"/>
        <rFont val="Calibri"/>
        <family val="2"/>
        <charset val="204"/>
        <scheme val="minor"/>
      </rPr>
      <t>F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</si>
  <si>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13</t>
    </r>
  </si>
  <si>
    <t>Значение Fastmean</t>
  </si>
  <si>
    <t>Таблица 5</t>
  </si>
  <si>
    <t>Класс точности</t>
  </si>
  <si>
    <t>Шкала номинальных значений сопротивлений и ёмкостей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</si>
</sst>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vertAlign val="subscript"/>
      <sz val="14"/>
      <color theme="0"/>
      <name val="Calibri"/>
      <family val="2"/>
      <charset val="204"/>
      <scheme val="minor"/>
    </font>
    <font>
      <vertAlign val="subscript"/>
      <sz val="11"/>
      <color theme="0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vertAlign val="subscript"/>
      <sz val="11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" fontId="11" fillId="7" borderId="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1" fontId="11" fillId="10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12700</xdr:rowOff>
    </xdr:from>
    <xdr:to>
      <xdr:col>4</xdr:col>
      <xdr:colOff>12700</xdr:colOff>
      <xdr:row>3</xdr:row>
      <xdr:rowOff>12700</xdr:rowOff>
    </xdr:to>
    <xdr:sp macro="" textlink="">
      <xdr:nvSpPr>
        <xdr:cNvPr id="4097" name="ComboBox1" hidden="1">
          <a:extLst>
            <a:ext uri="{63B3BB69-23CF-44E3-9099-C40C66FF867C}">
              <a14:compatExt xmlns:a14="http://schemas.microsoft.com/office/drawing/2010/main" spid="_x0000_s409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0</xdr:colOff>
      <xdr:row>2</xdr:row>
      <xdr:rowOff>0</xdr:rowOff>
    </xdr:from>
    <xdr:to>
      <xdr:col>9</xdr:col>
      <xdr:colOff>25400</xdr:colOff>
      <xdr:row>3</xdr:row>
      <xdr:rowOff>25400</xdr:rowOff>
    </xdr:to>
    <xdr:sp macro="" textlink="">
      <xdr:nvSpPr>
        <xdr:cNvPr id="4098" name="ComboBox2" hidden="1">
          <a:extLst>
            <a:ext uri="{63B3BB69-23CF-44E3-9099-C40C66FF867C}">
              <a14:compatExt xmlns:a14="http://schemas.microsoft.com/office/drawing/2010/main" spid="_x0000_s409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0</xdr:colOff>
      <xdr:row>2</xdr:row>
      <xdr:rowOff>0</xdr:rowOff>
    </xdr:from>
    <xdr:to>
      <xdr:col>13</xdr:col>
      <xdr:colOff>558800</xdr:colOff>
      <xdr:row>3</xdr:row>
      <xdr:rowOff>12700</xdr:rowOff>
    </xdr:to>
    <xdr:sp macro="" textlink="">
      <xdr:nvSpPr>
        <xdr:cNvPr id="4099" name="ComboBox3" hidden="1">
          <a:extLst>
            <a:ext uri="{63B3BB69-23CF-44E3-9099-C40C66FF867C}">
              <a14:compatExt xmlns:a14="http://schemas.microsoft.com/office/drawing/2010/main" spid="_x0000_s409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2</xdr:row>
      <xdr:rowOff>12700</xdr:rowOff>
    </xdr:from>
    <xdr:to>
      <xdr:col>4</xdr:col>
      <xdr:colOff>12700</xdr:colOff>
      <xdr:row>3</xdr:row>
      <xdr:rowOff>12700</xdr:rowOff>
    </xdr:to>
    <xdr:pic>
      <xdr:nvPicPr>
        <xdr:cNvPr id="2" name="ComboBox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3100" y="393700"/>
          <a:ext cx="26289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9</xdr:col>
      <xdr:colOff>25400</xdr:colOff>
      <xdr:row>3</xdr:row>
      <xdr:rowOff>25400</xdr:rowOff>
    </xdr:to>
    <xdr:pic>
      <xdr:nvPicPr>
        <xdr:cNvPr id="3" name="ComboBox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5500" y="381000"/>
          <a:ext cx="24638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0</xdr:colOff>
      <xdr:row>2</xdr:row>
      <xdr:rowOff>0</xdr:rowOff>
    </xdr:from>
    <xdr:to>
      <xdr:col>13</xdr:col>
      <xdr:colOff>558800</xdr:colOff>
      <xdr:row>3</xdr:row>
      <xdr:rowOff>12700</xdr:rowOff>
    </xdr:to>
    <xdr:pic>
      <xdr:nvPicPr>
        <xdr:cNvPr id="4" name="ComboBox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20100" y="381000"/>
          <a:ext cx="2146300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 enableFormatConditionsCalculation="0"/>
  <dimension ref="B2:S48"/>
  <sheetViews>
    <sheetView tabSelected="1" topLeftCell="A25" zoomScale="127" zoomScaleNormal="90" zoomScalePageLayoutView="90" workbookViewId="0">
      <selection activeCell="I36" sqref="I36:I37"/>
    </sheetView>
  </sheetViews>
  <sheetFormatPr baseColWidth="10" defaultColWidth="8.83203125" defaultRowHeight="15" x14ac:dyDescent="0.2"/>
  <cols>
    <col min="2" max="2" width="12.83203125" customWidth="1"/>
    <col min="3" max="3" width="12.6640625" customWidth="1"/>
    <col min="7" max="7" width="14.33203125" customWidth="1"/>
    <col min="13" max="13" width="12" bestFit="1" customWidth="1"/>
    <col min="17" max="17" width="10.5" customWidth="1"/>
    <col min="18" max="18" width="12" bestFit="1" customWidth="1"/>
  </cols>
  <sheetData>
    <row r="2" spans="2:19" ht="15" customHeight="1" x14ac:dyDescent="0.2">
      <c r="B2" s="37" t="s">
        <v>44</v>
      </c>
      <c r="C2" s="37"/>
      <c r="D2" s="37"/>
      <c r="G2" s="37" t="s">
        <v>50</v>
      </c>
      <c r="H2" s="37"/>
      <c r="I2" s="37"/>
      <c r="L2" s="37" t="s">
        <v>51</v>
      </c>
      <c r="M2" s="37"/>
      <c r="N2" s="37"/>
    </row>
    <row r="3" spans="2:19" ht="18.75" customHeight="1" x14ac:dyDescent="0.2"/>
    <row r="5" spans="2:19" x14ac:dyDescent="0.2">
      <c r="B5" s="38" t="s">
        <v>46</v>
      </c>
      <c r="C5" s="38"/>
      <c r="D5" s="38"/>
      <c r="G5" s="38" t="s">
        <v>53</v>
      </c>
      <c r="H5" s="38"/>
      <c r="I5" s="38"/>
      <c r="L5" s="38" t="s">
        <v>52</v>
      </c>
      <c r="M5" s="38"/>
      <c r="N5" s="38"/>
      <c r="Q5" s="38" t="s">
        <v>76</v>
      </c>
      <c r="R5" s="38"/>
      <c r="S5" s="38"/>
    </row>
    <row r="6" spans="2:19" ht="18.75" customHeight="1" x14ac:dyDescent="0.2">
      <c r="B6" s="4" t="s">
        <v>45</v>
      </c>
      <c r="C6" s="39">
        <v>0</v>
      </c>
      <c r="D6" s="39"/>
      <c r="G6" s="5" t="s">
        <v>45</v>
      </c>
      <c r="H6" s="39">
        <v>7</v>
      </c>
      <c r="I6" s="39"/>
      <c r="L6" s="5" t="s">
        <v>45</v>
      </c>
      <c r="M6" s="39">
        <v>4</v>
      </c>
      <c r="N6" s="39"/>
      <c r="Q6" s="5" t="s">
        <v>80</v>
      </c>
      <c r="R6" s="43">
        <f>M6</f>
        <v>4</v>
      </c>
      <c r="S6" s="44"/>
    </row>
    <row r="7" spans="2:19" ht="18.75" customHeight="1" x14ac:dyDescent="0.2">
      <c r="B7" s="4" t="s">
        <v>47</v>
      </c>
      <c r="C7" s="39" t="str">
        <f>INDEX(Таблицы!B9:F18,Расчёт!C6+1,2)</f>
        <v>КП 307А</v>
      </c>
      <c r="D7" s="39"/>
      <c r="G7" s="5" t="s">
        <v>47</v>
      </c>
      <c r="H7" s="43" t="str">
        <f>INDEX(Таблицы!B26:K35,H6+1,2)</f>
        <v>КТ315А</v>
      </c>
      <c r="I7" s="44"/>
      <c r="L7" s="3" t="s">
        <v>71</v>
      </c>
      <c r="M7" s="6">
        <f>INDEX(Таблицы!B46:F55,M6+1,2)</f>
        <v>9</v>
      </c>
      <c r="N7" s="32" t="s">
        <v>7</v>
      </c>
      <c r="Q7" s="5" t="s">
        <v>90</v>
      </c>
      <c r="R7" s="45" t="str">
        <f>INDEX(Таблицы!B62:F63,MOD(R6,2)+1,2)</f>
        <v>чётная</v>
      </c>
      <c r="S7" s="45"/>
    </row>
    <row r="8" spans="2:19" ht="18.75" customHeight="1" x14ac:dyDescent="0.2">
      <c r="B8" s="3" t="s">
        <v>67</v>
      </c>
      <c r="C8" s="6">
        <f>INDEX(Таблицы!B9:F18,C6+1,3)</f>
        <v>6</v>
      </c>
      <c r="D8" s="5" t="s">
        <v>48</v>
      </c>
      <c r="G8" s="3" t="s">
        <v>57</v>
      </c>
      <c r="H8" s="6">
        <f>INDEX(Таблицы!B26:K35,H6+1,3)</f>
        <v>150</v>
      </c>
      <c r="I8" s="5" t="s">
        <v>68</v>
      </c>
      <c r="L8" s="3" t="s">
        <v>72</v>
      </c>
      <c r="M8" s="6">
        <f>INDEX(Таблицы!B46:F55,M6+1,3)</f>
        <v>2</v>
      </c>
      <c r="N8" s="33"/>
      <c r="Q8" s="5" t="s">
        <v>77</v>
      </c>
      <c r="R8" s="39" t="str">
        <f>INDEX(Таблицы!B62:F63,MOD(R6,2)+1,3)</f>
        <v>OPA622</v>
      </c>
      <c r="S8" s="39"/>
    </row>
    <row r="9" spans="2:19" ht="18.75" customHeight="1" x14ac:dyDescent="0.2">
      <c r="B9" s="3" t="s">
        <v>65</v>
      </c>
      <c r="C9" s="6">
        <f>INDEX(Таблицы!B9:F18,C6+1,4)</f>
        <v>9</v>
      </c>
      <c r="D9" s="5" t="s">
        <v>49</v>
      </c>
      <c r="G9" s="3" t="s">
        <v>58</v>
      </c>
      <c r="H9" s="6">
        <f>INDEX(Таблицы!B26:K35,H6+1,4)</f>
        <v>25</v>
      </c>
      <c r="I9" s="5" t="s">
        <v>69</v>
      </c>
      <c r="L9" s="3" t="s">
        <v>73</v>
      </c>
      <c r="M9" s="6">
        <f>INDEX(Таблицы!B46:F55,M6+1,4)</f>
        <v>20</v>
      </c>
      <c r="N9" s="5" t="s">
        <v>29</v>
      </c>
      <c r="Q9" s="3" t="s">
        <v>78</v>
      </c>
      <c r="R9" s="6">
        <f>INDEX(Таблицы!B62:F63,MOD(R6,2)+1,4)</f>
        <v>250</v>
      </c>
      <c r="S9" s="5" t="s">
        <v>13</v>
      </c>
    </row>
    <row r="10" spans="2:19" ht="18.75" customHeight="1" x14ac:dyDescent="0.2">
      <c r="B10" s="3" t="s">
        <v>66</v>
      </c>
      <c r="C10" s="6">
        <f>INDEX(Таблицы!B9:F18,C6+1,5)</f>
        <v>-1.5</v>
      </c>
      <c r="D10" s="5" t="s">
        <v>7</v>
      </c>
      <c r="G10" s="3" t="s">
        <v>59</v>
      </c>
      <c r="H10" s="6">
        <f>INDEX(Таблицы!B26:K35,H6+1,5)</f>
        <v>100</v>
      </c>
      <c r="I10" s="5" t="s">
        <v>48</v>
      </c>
      <c r="L10" s="3" t="s">
        <v>75</v>
      </c>
      <c r="M10" s="6">
        <f>INDEX(Таблицы!B46:F55,M6+1,5)</f>
        <v>1</v>
      </c>
      <c r="N10" s="5" t="s">
        <v>13</v>
      </c>
      <c r="Q10" s="5" t="s">
        <v>79</v>
      </c>
      <c r="R10" s="6">
        <f>INDEX(Таблицы!B62:F63,MOD(R6,2)+1,5)</f>
        <v>80</v>
      </c>
      <c r="S10" s="5" t="s">
        <v>81</v>
      </c>
    </row>
    <row r="11" spans="2:19" ht="18.75" customHeight="1" x14ac:dyDescent="0.2">
      <c r="G11" s="3" t="s">
        <v>60</v>
      </c>
      <c r="H11" s="6">
        <f>INDEX(Таблицы!B26:K35,H6+1,6)</f>
        <v>120</v>
      </c>
      <c r="I11" s="5" t="s">
        <v>70</v>
      </c>
    </row>
    <row r="12" spans="2:19" ht="18.75" customHeight="1" x14ac:dyDescent="0.2">
      <c r="G12" s="3" t="s">
        <v>61</v>
      </c>
      <c r="H12" s="6">
        <f>INDEX(Таблицы!B26:K35,H6+1,7)</f>
        <v>30</v>
      </c>
      <c r="I12" s="5" t="s">
        <v>70</v>
      </c>
    </row>
    <row r="13" spans="2:19" ht="18.75" customHeight="1" x14ac:dyDescent="0.2">
      <c r="G13" s="3" t="s">
        <v>62</v>
      </c>
      <c r="H13" s="6">
        <f>INDEX(Таблицы!B26:K35,H6+1,8)</f>
        <v>270</v>
      </c>
      <c r="I13" s="5" t="s">
        <v>13</v>
      </c>
    </row>
    <row r="14" spans="2:19" ht="18.75" customHeight="1" x14ac:dyDescent="0.2">
      <c r="G14" s="3" t="s">
        <v>63</v>
      </c>
      <c r="H14" s="6">
        <f>INDEX(Таблицы!B26:K35,H6+1,9)</f>
        <v>7</v>
      </c>
      <c r="I14" s="5" t="s">
        <v>14</v>
      </c>
    </row>
    <row r="15" spans="2:19" ht="18.75" customHeight="1" x14ac:dyDescent="0.2">
      <c r="G15" s="3" t="s">
        <v>64</v>
      </c>
      <c r="H15" s="6">
        <f>INDEX(Таблицы!B26:K35,H6+1,10)</f>
        <v>150</v>
      </c>
      <c r="I15" s="5" t="s">
        <v>15</v>
      </c>
    </row>
    <row r="18" spans="2:19" x14ac:dyDescent="0.2">
      <c r="B18" s="31" t="s">
        <v>91</v>
      </c>
      <c r="C18" s="31"/>
      <c r="D18" s="31"/>
      <c r="G18" s="31" t="s">
        <v>132</v>
      </c>
      <c r="H18" s="31"/>
      <c r="I18" s="31"/>
      <c r="L18" s="31" t="s">
        <v>133</v>
      </c>
      <c r="M18" s="31"/>
      <c r="N18" s="31"/>
      <c r="Q18" s="31" t="s">
        <v>134</v>
      </c>
      <c r="R18" s="31"/>
      <c r="S18" s="31"/>
    </row>
    <row r="19" spans="2:19" ht="17" x14ac:dyDescent="0.2">
      <c r="B19" s="3" t="s">
        <v>92</v>
      </c>
      <c r="C19" s="6">
        <v>-1</v>
      </c>
      <c r="D19" s="5" t="s">
        <v>7</v>
      </c>
      <c r="G19" s="3" t="s">
        <v>115</v>
      </c>
      <c r="H19" s="6">
        <f>M7*0.1</f>
        <v>0.9</v>
      </c>
      <c r="I19" s="32" t="s">
        <v>7</v>
      </c>
      <c r="L19" s="3" t="s">
        <v>120</v>
      </c>
      <c r="M19" s="6">
        <f>((1-(C19/C10))^2)*(C8/1000)</f>
        <v>6.6666666666666686E-4</v>
      </c>
      <c r="N19" s="32" t="s">
        <v>121</v>
      </c>
      <c r="Q19" s="3" t="s">
        <v>135</v>
      </c>
      <c r="R19" s="16">
        <v>5</v>
      </c>
      <c r="S19" s="32" t="s">
        <v>48</v>
      </c>
    </row>
    <row r="20" spans="2:19" ht="17" x14ac:dyDescent="0.2">
      <c r="B20" s="3" t="s">
        <v>94</v>
      </c>
      <c r="C20" s="6">
        <v>5</v>
      </c>
      <c r="D20" s="32" t="s">
        <v>14</v>
      </c>
      <c r="G20" s="3" t="s">
        <v>116</v>
      </c>
      <c r="H20" s="16">
        <v>6</v>
      </c>
      <c r="I20" s="34"/>
      <c r="L20" s="3" t="s">
        <v>122</v>
      </c>
      <c r="M20" s="6">
        <f>(1-(C19/C10))*(C9/1000)</f>
        <v>3.0000000000000001E-3</v>
      </c>
      <c r="N20" s="33"/>
      <c r="Q20" s="3" t="s">
        <v>136</v>
      </c>
      <c r="R20" s="16">
        <v>5</v>
      </c>
      <c r="S20" s="33"/>
    </row>
    <row r="21" spans="2:19" ht="17" x14ac:dyDescent="0.2">
      <c r="B21" s="3" t="s">
        <v>93</v>
      </c>
      <c r="C21" s="6">
        <v>1.5</v>
      </c>
      <c r="D21" s="33"/>
      <c r="G21" s="3" t="s">
        <v>114</v>
      </c>
      <c r="H21" s="6">
        <f>H19+H20</f>
        <v>6.9</v>
      </c>
      <c r="I21" s="33"/>
      <c r="L21" s="3" t="s">
        <v>124</v>
      </c>
      <c r="M21" s="6">
        <f>M7*0.2</f>
        <v>1.8</v>
      </c>
      <c r="N21" s="32" t="s">
        <v>7</v>
      </c>
      <c r="Q21" s="3" t="s">
        <v>137</v>
      </c>
      <c r="R21" s="6">
        <f>M7/2</f>
        <v>4.5</v>
      </c>
      <c r="S21" s="32" t="s">
        <v>7</v>
      </c>
    </row>
    <row r="22" spans="2:19" ht="17" x14ac:dyDescent="0.2">
      <c r="B22" s="3" t="s">
        <v>95</v>
      </c>
      <c r="C22" s="6">
        <v>1</v>
      </c>
      <c r="D22" s="5" t="s">
        <v>97</v>
      </c>
      <c r="L22" s="3" t="s">
        <v>125</v>
      </c>
      <c r="M22" s="6">
        <f>M7/2</f>
        <v>4.5</v>
      </c>
      <c r="N22" s="34"/>
      <c r="Q22" s="3" t="s">
        <v>138</v>
      </c>
      <c r="R22" s="6">
        <f>M7*0.1</f>
        <v>0.9</v>
      </c>
      <c r="S22" s="34"/>
    </row>
    <row r="23" spans="2:19" ht="17" x14ac:dyDescent="0.2">
      <c r="B23" s="3" t="s">
        <v>96</v>
      </c>
      <c r="C23" s="6">
        <v>3</v>
      </c>
      <c r="D23" s="5" t="s">
        <v>98</v>
      </c>
      <c r="L23" s="3" t="s">
        <v>123</v>
      </c>
      <c r="M23" s="6">
        <f>M21+M22</f>
        <v>6.3</v>
      </c>
      <c r="N23" s="34"/>
      <c r="Q23" s="3" t="s">
        <v>139</v>
      </c>
      <c r="R23" s="6">
        <f>R24</f>
        <v>1.6</v>
      </c>
      <c r="S23" s="34"/>
    </row>
    <row r="24" spans="2:19" ht="17" x14ac:dyDescent="0.2">
      <c r="B24" s="3" t="s">
        <v>117</v>
      </c>
      <c r="C24" s="6">
        <v>1</v>
      </c>
      <c r="D24" s="5" t="s">
        <v>119</v>
      </c>
      <c r="L24" s="3" t="s">
        <v>126</v>
      </c>
      <c r="M24" s="6">
        <f>M21+C19</f>
        <v>0.8</v>
      </c>
      <c r="N24" s="33"/>
      <c r="Q24" s="3" t="s">
        <v>140</v>
      </c>
      <c r="R24" s="6">
        <f>R22+R25</f>
        <v>1.6</v>
      </c>
      <c r="S24" s="34"/>
    </row>
    <row r="25" spans="2:19" ht="17" x14ac:dyDescent="0.2">
      <c r="B25" s="3" t="s">
        <v>118</v>
      </c>
      <c r="C25" s="6">
        <f>ABS(C19/(C24/1000000000))</f>
        <v>999999999.99999988</v>
      </c>
      <c r="D25" s="5" t="s">
        <v>100</v>
      </c>
      <c r="L25" s="3" t="s">
        <v>127</v>
      </c>
      <c r="M25" s="17">
        <f>M26+M27+M28</f>
        <v>26.724999999999994</v>
      </c>
      <c r="N25" s="32" t="s">
        <v>14</v>
      </c>
      <c r="Q25" s="3" t="s">
        <v>141</v>
      </c>
      <c r="R25" s="16">
        <v>0.7</v>
      </c>
      <c r="S25" s="34"/>
    </row>
    <row r="26" spans="2:19" ht="17" x14ac:dyDescent="0.2">
      <c r="L26" s="3" t="s">
        <v>128</v>
      </c>
      <c r="M26" s="6">
        <v>1</v>
      </c>
      <c r="N26" s="34"/>
      <c r="Q26" s="3" t="s">
        <v>142</v>
      </c>
      <c r="R26" s="6">
        <f>R24+R25</f>
        <v>2.2999999999999998</v>
      </c>
      <c r="S26" s="34"/>
    </row>
    <row r="27" spans="2:19" ht="17" x14ac:dyDescent="0.2">
      <c r="L27" s="3" t="s">
        <v>129</v>
      </c>
      <c r="M27" s="6">
        <f>((M20*C34+1)*(C21/10^12)+(C20/10^12))*10^12</f>
        <v>24.724999999999994</v>
      </c>
      <c r="N27" s="34"/>
      <c r="Q27" s="3" t="s">
        <v>143</v>
      </c>
      <c r="R27" s="6">
        <f>R22+R21</f>
        <v>5.4</v>
      </c>
      <c r="S27" s="33"/>
    </row>
    <row r="28" spans="2:19" ht="17" x14ac:dyDescent="0.2">
      <c r="B28" s="40" t="s">
        <v>99</v>
      </c>
      <c r="C28" s="41"/>
      <c r="D28" s="41"/>
      <c r="L28" s="3" t="s">
        <v>130</v>
      </c>
      <c r="M28" s="16">
        <v>1</v>
      </c>
      <c r="N28" s="33"/>
      <c r="Q28" s="3" t="s">
        <v>144</v>
      </c>
      <c r="R28" s="6">
        <f>SQRT(H11*H12)</f>
        <v>60</v>
      </c>
      <c r="S28" s="5" t="s">
        <v>70</v>
      </c>
    </row>
    <row r="29" spans="2:19" ht="17" x14ac:dyDescent="0.2">
      <c r="B29" s="42"/>
      <c r="C29" s="42"/>
      <c r="D29" s="42"/>
      <c r="L29" s="3" t="s">
        <v>131</v>
      </c>
      <c r="M29" s="19">
        <f>M24/C46</f>
        <v>1.2903225806451613E-4</v>
      </c>
      <c r="N29" s="5" t="s">
        <v>121</v>
      </c>
      <c r="Q29" s="3" t="s">
        <v>145</v>
      </c>
      <c r="R29" s="6">
        <f>((R20/1000)/R28)*10^6</f>
        <v>83.333333333333329</v>
      </c>
      <c r="S29" s="32" t="s">
        <v>97</v>
      </c>
    </row>
    <row r="30" spans="2:19" ht="17" x14ac:dyDescent="0.2">
      <c r="B30" s="15" t="s">
        <v>101</v>
      </c>
      <c r="C30" s="20">
        <f>H19/(C22/1000000)</f>
        <v>900000.00000000012</v>
      </c>
      <c r="D30" s="32" t="s">
        <v>100</v>
      </c>
      <c r="Q30" s="3" t="s">
        <v>146</v>
      </c>
      <c r="R30" s="6">
        <f>((R19/1000)/R28)*10^6</f>
        <v>83.333333333333329</v>
      </c>
      <c r="S30" s="33"/>
    </row>
    <row r="31" spans="2:19" ht="17" x14ac:dyDescent="0.2">
      <c r="B31" s="15" t="s">
        <v>102</v>
      </c>
      <c r="C31" s="20">
        <f>(M7-H21)/(C22/1000000)</f>
        <v>2099999.9999999995</v>
      </c>
      <c r="D31" s="34"/>
      <c r="Q31" s="3" t="s">
        <v>147</v>
      </c>
      <c r="R31" s="6">
        <f>(1+(1/R28))*(R20/1000)</f>
        <v>5.0833333333333329E-3</v>
      </c>
      <c r="S31" s="32" t="s">
        <v>121</v>
      </c>
    </row>
    <row r="32" spans="2:19" ht="17" x14ac:dyDescent="0.2">
      <c r="B32" s="15" t="s">
        <v>103</v>
      </c>
      <c r="C32" s="27">
        <f>(M7-M24)/M29</f>
        <v>63549.999999999993</v>
      </c>
      <c r="D32" s="34"/>
      <c r="Q32" s="3" t="s">
        <v>148</v>
      </c>
      <c r="R32" s="6">
        <f>(1+(1/R28))*(R19/1000)</f>
        <v>5.0833333333333329E-3</v>
      </c>
      <c r="S32" s="34"/>
    </row>
    <row r="33" spans="2:19" ht="17" x14ac:dyDescent="0.2">
      <c r="B33" s="15" t="s">
        <v>104</v>
      </c>
      <c r="C33" s="22">
        <f>1/(2*3.14*(M10*10^6)*(M25/10^12))</f>
        <v>5958.3037900770423</v>
      </c>
      <c r="D33" s="34"/>
      <c r="Q33" s="3" t="s">
        <v>149</v>
      </c>
      <c r="R33" s="16">
        <f>10*(R29/10^6)</f>
        <v>8.3333333333333328E-4</v>
      </c>
      <c r="S33" s="33"/>
    </row>
    <row r="34" spans="2:19" ht="17" x14ac:dyDescent="0.2">
      <c r="B34" s="15" t="s">
        <v>105</v>
      </c>
      <c r="C34" s="23">
        <f>(M7-M23)/M19</f>
        <v>4049.9999999999991</v>
      </c>
      <c r="D34" s="34"/>
    </row>
    <row r="35" spans="2:19" ht="17" x14ac:dyDescent="0.2">
      <c r="B35" s="15" t="s">
        <v>106</v>
      </c>
      <c r="C35" s="20">
        <f>M21/M19</f>
        <v>2699.9999999999991</v>
      </c>
      <c r="D35" s="34"/>
      <c r="G35" s="31" t="s">
        <v>153</v>
      </c>
      <c r="H35" s="31"/>
      <c r="I35" s="31"/>
      <c r="L35" s="31" t="s">
        <v>159</v>
      </c>
      <c r="M35" s="31"/>
      <c r="N35" s="31"/>
    </row>
    <row r="36" spans="2:19" ht="17" x14ac:dyDescent="0.2">
      <c r="B36" s="15" t="s">
        <v>107</v>
      </c>
      <c r="C36" s="20">
        <f>(M7-R26)/(R33+(R29/10^6))</f>
        <v>7309.090909090909</v>
      </c>
      <c r="D36" s="34"/>
      <c r="G36" s="3" t="s">
        <v>154</v>
      </c>
      <c r="H36" s="6">
        <f>R25/(R29/10^6)</f>
        <v>8400</v>
      </c>
      <c r="I36" s="32" t="s">
        <v>100</v>
      </c>
      <c r="L36" s="3" t="s">
        <v>160</v>
      </c>
      <c r="M36" s="6">
        <f>-M20*C19</f>
        <v>3.0000000000000001E-3</v>
      </c>
      <c r="N36" s="32" t="s">
        <v>121</v>
      </c>
    </row>
    <row r="37" spans="2:19" ht="17" x14ac:dyDescent="0.2">
      <c r="B37" s="15" t="s">
        <v>108</v>
      </c>
      <c r="C37" s="20">
        <f>R26/R33</f>
        <v>2760</v>
      </c>
      <c r="D37" s="34"/>
      <c r="G37" s="3" t="s">
        <v>155</v>
      </c>
      <c r="H37" s="6">
        <f>R25/(R30/10^6)</f>
        <v>8400</v>
      </c>
      <c r="I37" s="33"/>
      <c r="L37" s="3" t="s">
        <v>136</v>
      </c>
      <c r="M37" s="6">
        <f>-R28*(R29/10^6)</f>
        <v>-5.0000000000000001E-3</v>
      </c>
      <c r="N37" s="34"/>
    </row>
    <row r="38" spans="2:19" ht="17" x14ac:dyDescent="0.2">
      <c r="B38" s="15" t="s">
        <v>109</v>
      </c>
      <c r="C38" s="20">
        <f>R24/R31</f>
        <v>314.7540983606558</v>
      </c>
      <c r="D38" s="34"/>
      <c r="G38" s="24"/>
      <c r="H38" s="25"/>
      <c r="I38" s="25"/>
      <c r="L38" s="3" t="s">
        <v>135</v>
      </c>
      <c r="M38" s="6">
        <f>-R28*(R30/10^6)</f>
        <v>-5.0000000000000001E-3</v>
      </c>
      <c r="N38" s="33"/>
    </row>
    <row r="39" spans="2:19" ht="17" x14ac:dyDescent="0.2">
      <c r="B39" s="15" t="s">
        <v>110</v>
      </c>
      <c r="C39" s="20">
        <f>(M7-R27)/(R19/1000)</f>
        <v>719.99999999999989</v>
      </c>
      <c r="D39" s="34"/>
      <c r="L39" s="3" t="s">
        <v>161</v>
      </c>
      <c r="M39" s="6">
        <f>H15/H14</f>
        <v>21.428571428571427</v>
      </c>
      <c r="N39" s="32" t="s">
        <v>100</v>
      </c>
    </row>
    <row r="40" spans="2:19" ht="17" x14ac:dyDescent="0.2">
      <c r="B40" s="15" t="s">
        <v>111</v>
      </c>
      <c r="C40" s="20">
        <f>R22/R32</f>
        <v>177.04918032786887</v>
      </c>
      <c r="D40" s="34"/>
      <c r="L40" s="3" t="s">
        <v>162</v>
      </c>
      <c r="M40" s="6">
        <f>ABS((1+R28)*(0.025/M37))</f>
        <v>305</v>
      </c>
      <c r="N40" s="34"/>
    </row>
    <row r="41" spans="2:19" ht="17" x14ac:dyDescent="0.2">
      <c r="B41" s="15" t="s">
        <v>112</v>
      </c>
      <c r="C41" s="21">
        <f>C47*10</f>
        <v>7500</v>
      </c>
      <c r="D41" s="34"/>
      <c r="L41" s="3" t="s">
        <v>163</v>
      </c>
      <c r="M41" s="6">
        <f>ABS((1+R28)*(0.025/M38))</f>
        <v>305</v>
      </c>
      <c r="N41" s="33"/>
    </row>
    <row r="42" spans="2:19" ht="17" x14ac:dyDescent="0.2">
      <c r="B42" s="15" t="s">
        <v>113</v>
      </c>
      <c r="C42" s="21">
        <f>C41</f>
        <v>7500</v>
      </c>
      <c r="D42" s="34"/>
      <c r="L42" s="3" t="s">
        <v>164</v>
      </c>
      <c r="M42" s="6">
        <f>(R28/(2*3.14*(H13*10^6)*M40))*10^12</f>
        <v>116.01870221479703</v>
      </c>
      <c r="N42" s="5" t="s">
        <v>14</v>
      </c>
    </row>
    <row r="43" spans="2:19" ht="17" x14ac:dyDescent="0.2">
      <c r="B43" s="15" t="s">
        <v>156</v>
      </c>
      <c r="C43" s="21">
        <f>C48/(M43-1)</f>
        <v>11781.818181818189</v>
      </c>
      <c r="D43" s="34"/>
      <c r="L43" s="3" t="s">
        <v>165</v>
      </c>
      <c r="M43" s="6">
        <f>(M8/M45)*1.41</f>
        <v>1.3055555555555554</v>
      </c>
      <c r="N43" s="5" t="s">
        <v>70</v>
      </c>
    </row>
    <row r="44" spans="2:19" ht="17" x14ac:dyDescent="0.2">
      <c r="B44" s="15" t="s">
        <v>157</v>
      </c>
      <c r="C44" s="21">
        <f>C41/2</f>
        <v>3750</v>
      </c>
      <c r="D44" s="33"/>
      <c r="L44" s="28" t="s">
        <v>167</v>
      </c>
      <c r="M44" s="29"/>
      <c r="N44" s="30"/>
    </row>
    <row r="45" spans="2:19" ht="17" x14ac:dyDescent="0.2">
      <c r="B45" s="31" t="s">
        <v>151</v>
      </c>
      <c r="C45" s="31"/>
      <c r="D45" s="31"/>
      <c r="L45" s="3" t="s">
        <v>166</v>
      </c>
      <c r="M45" s="18">
        <v>2.16</v>
      </c>
      <c r="N45" s="5" t="s">
        <v>7</v>
      </c>
    </row>
    <row r="46" spans="2:19" ht="17" x14ac:dyDescent="0.2">
      <c r="B46" s="15" t="s">
        <v>150</v>
      </c>
      <c r="C46" s="18">
        <v>6200</v>
      </c>
      <c r="D46" s="35" t="s">
        <v>100</v>
      </c>
    </row>
    <row r="47" spans="2:19" ht="17" x14ac:dyDescent="0.2">
      <c r="B47" s="15" t="s">
        <v>152</v>
      </c>
      <c r="C47" s="18">
        <v>750</v>
      </c>
      <c r="D47" s="36"/>
    </row>
    <row r="48" spans="2:19" ht="17" x14ac:dyDescent="0.2">
      <c r="B48" s="15" t="s">
        <v>158</v>
      </c>
      <c r="C48" s="18">
        <v>3600</v>
      </c>
      <c r="D48" s="36"/>
    </row>
  </sheetData>
  <mergeCells count="39">
    <mergeCell ref="S29:S30"/>
    <mergeCell ref="S31:S33"/>
    <mergeCell ref="D20:D21"/>
    <mergeCell ref="N39:N41"/>
    <mergeCell ref="N21:N24"/>
    <mergeCell ref="N19:N20"/>
    <mergeCell ref="I19:I21"/>
    <mergeCell ref="N25:N28"/>
    <mergeCell ref="S19:S20"/>
    <mergeCell ref="S21:S27"/>
    <mergeCell ref="N36:N38"/>
    <mergeCell ref="Q5:S5"/>
    <mergeCell ref="R8:S8"/>
    <mergeCell ref="R6:S6"/>
    <mergeCell ref="R7:S7"/>
    <mergeCell ref="B18:D18"/>
    <mergeCell ref="N7:N8"/>
    <mergeCell ref="Q18:S18"/>
    <mergeCell ref="G18:I18"/>
    <mergeCell ref="L18:N18"/>
    <mergeCell ref="G2:I2"/>
    <mergeCell ref="H7:I7"/>
    <mergeCell ref="L2:N2"/>
    <mergeCell ref="G5:I5"/>
    <mergeCell ref="L5:N5"/>
    <mergeCell ref="H6:I6"/>
    <mergeCell ref="M6:N6"/>
    <mergeCell ref="D46:D48"/>
    <mergeCell ref="B2:D2"/>
    <mergeCell ref="B5:D5"/>
    <mergeCell ref="C6:D6"/>
    <mergeCell ref="C7:D7"/>
    <mergeCell ref="B28:D29"/>
    <mergeCell ref="L44:N44"/>
    <mergeCell ref="B45:D45"/>
    <mergeCell ref="G35:I35"/>
    <mergeCell ref="I36:I37"/>
    <mergeCell ref="D30:D44"/>
    <mergeCell ref="L35:N3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/>
  <dimension ref="B2:Z71"/>
  <sheetViews>
    <sheetView topLeftCell="A55" workbookViewId="0">
      <selection activeCell="X73" sqref="X73"/>
    </sheetView>
  </sheetViews>
  <sheetFormatPr baseColWidth="10" defaultColWidth="8.83203125" defaultRowHeight="15" x14ac:dyDescent="0.2"/>
  <cols>
    <col min="2" max="6" width="15.6640625" customWidth="1"/>
    <col min="7" max="7" width="16.1640625" customWidth="1"/>
  </cols>
  <sheetData>
    <row r="2" spans="2:6" ht="30" customHeight="1" x14ac:dyDescent="0.2">
      <c r="B2" s="2" t="s">
        <v>0</v>
      </c>
    </row>
    <row r="4" spans="2:6" ht="15" customHeight="1" x14ac:dyDescent="0.2">
      <c r="B4" s="49" t="s">
        <v>1</v>
      </c>
      <c r="C4" s="49" t="s">
        <v>2</v>
      </c>
      <c r="D4" s="49" t="s">
        <v>8</v>
      </c>
      <c r="E4" s="49" t="s">
        <v>9</v>
      </c>
      <c r="F4" s="49" t="s">
        <v>10</v>
      </c>
    </row>
    <row r="5" spans="2:6" x14ac:dyDescent="0.2">
      <c r="B5" s="49"/>
      <c r="C5" s="49"/>
      <c r="D5" s="49"/>
      <c r="E5" s="49"/>
      <c r="F5" s="49"/>
    </row>
    <row r="6" spans="2:6" ht="15" customHeight="1" x14ac:dyDescent="0.2">
      <c r="B6" s="49"/>
      <c r="C6" s="49"/>
      <c r="D6" s="49"/>
      <c r="E6" s="49"/>
      <c r="F6" s="49"/>
    </row>
    <row r="7" spans="2:6" ht="15" customHeight="1" x14ac:dyDescent="0.2">
      <c r="B7" s="49"/>
      <c r="C7" s="49" t="s">
        <v>3</v>
      </c>
      <c r="D7" s="49" t="s">
        <v>4</v>
      </c>
      <c r="E7" s="49" t="s">
        <v>5</v>
      </c>
      <c r="F7" s="49" t="s">
        <v>6</v>
      </c>
    </row>
    <row r="8" spans="2:6" ht="15.75" customHeight="1" x14ac:dyDescent="0.2">
      <c r="B8" s="49"/>
      <c r="C8" s="49"/>
      <c r="D8" s="49"/>
      <c r="E8" s="49"/>
      <c r="F8" s="49"/>
    </row>
    <row r="9" spans="2:6" ht="15" customHeight="1" x14ac:dyDescent="0.2">
      <c r="B9" s="9">
        <v>0</v>
      </c>
      <c r="C9" s="9" t="s">
        <v>11</v>
      </c>
      <c r="D9" s="9">
        <v>6</v>
      </c>
      <c r="E9" s="9">
        <v>9</v>
      </c>
      <c r="F9" s="9">
        <v>-1.5</v>
      </c>
    </row>
    <row r="10" spans="2:6" ht="15.75" customHeight="1" x14ac:dyDescent="0.2">
      <c r="B10" s="9">
        <v>1</v>
      </c>
      <c r="C10" s="9" t="s">
        <v>38</v>
      </c>
      <c r="D10" s="9">
        <v>10</v>
      </c>
      <c r="E10" s="9">
        <v>15</v>
      </c>
      <c r="F10" s="9">
        <v>-2.5</v>
      </c>
    </row>
    <row r="11" spans="2:6" ht="16" x14ac:dyDescent="0.2">
      <c r="B11" s="9">
        <v>2</v>
      </c>
      <c r="C11" s="9" t="s">
        <v>39</v>
      </c>
      <c r="D11" s="9">
        <v>10</v>
      </c>
      <c r="E11" s="9">
        <v>15</v>
      </c>
      <c r="F11" s="9">
        <v>-2.5</v>
      </c>
    </row>
    <row r="12" spans="2:6" ht="16" x14ac:dyDescent="0.2">
      <c r="B12" s="9">
        <v>3</v>
      </c>
      <c r="C12" s="9" t="s">
        <v>40</v>
      </c>
      <c r="D12" s="9">
        <v>16</v>
      </c>
      <c r="E12" s="9">
        <v>12</v>
      </c>
      <c r="F12" s="9">
        <v>-3.5</v>
      </c>
    </row>
    <row r="13" spans="2:6" ht="16" x14ac:dyDescent="0.2">
      <c r="B13" s="9">
        <v>4</v>
      </c>
      <c r="C13" s="9" t="s">
        <v>41</v>
      </c>
      <c r="D13" s="9">
        <v>16</v>
      </c>
      <c r="E13" s="9">
        <v>12</v>
      </c>
      <c r="F13" s="9">
        <v>-3.5</v>
      </c>
    </row>
    <row r="14" spans="2:6" ht="16" x14ac:dyDescent="0.2">
      <c r="B14" s="9">
        <v>5</v>
      </c>
      <c r="C14" s="9" t="s">
        <v>42</v>
      </c>
      <c r="D14" s="9">
        <v>3</v>
      </c>
      <c r="E14" s="9">
        <v>8</v>
      </c>
      <c r="F14" s="9">
        <v>-1.5</v>
      </c>
    </row>
    <row r="15" spans="2:6" ht="16" x14ac:dyDescent="0.2">
      <c r="B15" s="9">
        <v>6</v>
      </c>
      <c r="C15" s="9" t="s">
        <v>43</v>
      </c>
      <c r="D15" s="9">
        <v>14</v>
      </c>
      <c r="E15" s="9">
        <v>4</v>
      </c>
      <c r="F15" s="9">
        <v>-3.5</v>
      </c>
    </row>
    <row r="16" spans="2:6" ht="16" x14ac:dyDescent="0.2">
      <c r="B16" s="9">
        <v>7</v>
      </c>
      <c r="C16" s="9" t="s">
        <v>11</v>
      </c>
      <c r="D16" s="9">
        <v>6</v>
      </c>
      <c r="E16" s="9">
        <v>9</v>
      </c>
      <c r="F16" s="9">
        <v>-1.5</v>
      </c>
    </row>
    <row r="17" spans="2:11" ht="16" x14ac:dyDescent="0.2">
      <c r="B17" s="9">
        <v>8</v>
      </c>
      <c r="C17" s="9" t="s">
        <v>38</v>
      </c>
      <c r="D17" s="9">
        <v>10</v>
      </c>
      <c r="E17" s="9">
        <v>15</v>
      </c>
      <c r="F17" s="9">
        <v>-2.5</v>
      </c>
    </row>
    <row r="18" spans="2:11" ht="16" x14ac:dyDescent="0.2">
      <c r="B18" s="9">
        <v>9</v>
      </c>
      <c r="C18" s="9" t="s">
        <v>39</v>
      </c>
      <c r="D18" s="9">
        <v>10</v>
      </c>
      <c r="E18" s="9">
        <v>15</v>
      </c>
      <c r="F18" s="9">
        <v>-2.5</v>
      </c>
    </row>
    <row r="22" spans="2:11" ht="30" customHeight="1" x14ac:dyDescent="0.2">
      <c r="B22" s="1" t="s">
        <v>27</v>
      </c>
    </row>
    <row r="24" spans="2:11" ht="19" x14ac:dyDescent="0.2">
      <c r="B24" s="49" t="s">
        <v>1</v>
      </c>
      <c r="C24" s="49" t="s">
        <v>26</v>
      </c>
      <c r="D24" s="10" t="s">
        <v>30</v>
      </c>
      <c r="E24" s="10" t="s">
        <v>31</v>
      </c>
      <c r="F24" s="10" t="s">
        <v>32</v>
      </c>
      <c r="G24" s="10" t="s">
        <v>33</v>
      </c>
      <c r="H24" s="10" t="s">
        <v>34</v>
      </c>
      <c r="I24" s="10" t="s">
        <v>35</v>
      </c>
      <c r="J24" s="10" t="s">
        <v>36</v>
      </c>
      <c r="K24" s="10" t="s">
        <v>37</v>
      </c>
    </row>
    <row r="25" spans="2:11" ht="17" x14ac:dyDescent="0.2">
      <c r="B25" s="49"/>
      <c r="C25" s="49"/>
      <c r="D25" s="8" t="s">
        <v>12</v>
      </c>
      <c r="E25" s="8" t="s">
        <v>7</v>
      </c>
      <c r="F25" s="8" t="s">
        <v>4</v>
      </c>
      <c r="G25" s="11"/>
      <c r="H25" s="11"/>
      <c r="I25" s="8" t="s">
        <v>13</v>
      </c>
      <c r="J25" s="8" t="s">
        <v>14</v>
      </c>
      <c r="K25" s="8" t="s">
        <v>15</v>
      </c>
    </row>
    <row r="26" spans="2:11" ht="16" x14ac:dyDescent="0.2">
      <c r="B26" s="9">
        <v>0</v>
      </c>
      <c r="C26" s="9" t="s">
        <v>16</v>
      </c>
      <c r="D26" s="9">
        <v>250</v>
      </c>
      <c r="E26" s="9">
        <v>25</v>
      </c>
      <c r="F26" s="9">
        <v>25</v>
      </c>
      <c r="G26" s="9">
        <v>100</v>
      </c>
      <c r="H26" s="9">
        <v>25</v>
      </c>
      <c r="I26" s="9">
        <v>300</v>
      </c>
      <c r="J26" s="9">
        <v>2</v>
      </c>
      <c r="K26" s="9">
        <v>25</v>
      </c>
    </row>
    <row r="27" spans="2:11" ht="16" x14ac:dyDescent="0.2">
      <c r="B27" s="9">
        <v>1</v>
      </c>
      <c r="C27" s="9" t="s">
        <v>17</v>
      </c>
      <c r="D27" s="9">
        <v>250</v>
      </c>
      <c r="E27" s="9">
        <v>25</v>
      </c>
      <c r="F27" s="9">
        <v>50</v>
      </c>
      <c r="G27" s="9">
        <v>500</v>
      </c>
      <c r="H27" s="9">
        <v>200</v>
      </c>
      <c r="I27" s="9">
        <v>300</v>
      </c>
      <c r="J27" s="9">
        <v>8</v>
      </c>
      <c r="K27" s="9">
        <v>300</v>
      </c>
    </row>
    <row r="28" spans="2:11" ht="16" x14ac:dyDescent="0.2">
      <c r="B28" s="9">
        <v>2</v>
      </c>
      <c r="C28" s="9" t="s">
        <v>18</v>
      </c>
      <c r="D28" s="9">
        <v>225</v>
      </c>
      <c r="E28" s="9">
        <v>15</v>
      </c>
      <c r="F28" s="9">
        <v>30</v>
      </c>
      <c r="G28" s="9">
        <v>90</v>
      </c>
      <c r="H28" s="9">
        <v>30</v>
      </c>
      <c r="I28" s="9">
        <v>800</v>
      </c>
      <c r="J28" s="9">
        <v>2.5</v>
      </c>
      <c r="K28" s="9">
        <v>125</v>
      </c>
    </row>
    <row r="29" spans="2:11" ht="16" x14ac:dyDescent="0.2">
      <c r="B29" s="9">
        <v>3</v>
      </c>
      <c r="C29" s="9" t="s">
        <v>19</v>
      </c>
      <c r="D29" s="9">
        <v>225</v>
      </c>
      <c r="E29" s="9">
        <v>15</v>
      </c>
      <c r="F29" s="9">
        <v>30</v>
      </c>
      <c r="G29" s="9">
        <v>400</v>
      </c>
      <c r="H29" s="9">
        <v>160</v>
      </c>
      <c r="I29" s="9">
        <v>1000</v>
      </c>
      <c r="J29" s="9">
        <v>2.5</v>
      </c>
      <c r="K29" s="9">
        <v>125</v>
      </c>
    </row>
    <row r="30" spans="2:11" ht="16" x14ac:dyDescent="0.2">
      <c r="B30" s="9">
        <v>4</v>
      </c>
      <c r="C30" s="9" t="s">
        <v>20</v>
      </c>
      <c r="D30" s="9">
        <v>225</v>
      </c>
      <c r="E30" s="9">
        <v>15</v>
      </c>
      <c r="F30" s="9">
        <v>30</v>
      </c>
      <c r="G30" s="9">
        <v>300</v>
      </c>
      <c r="H30" s="9">
        <v>80</v>
      </c>
      <c r="I30" s="9">
        <v>1500</v>
      </c>
      <c r="J30" s="9">
        <v>2</v>
      </c>
      <c r="K30" s="9">
        <v>60</v>
      </c>
    </row>
    <row r="31" spans="2:11" ht="16" x14ac:dyDescent="0.2">
      <c r="B31" s="9">
        <v>5</v>
      </c>
      <c r="C31" s="9" t="s">
        <v>21</v>
      </c>
      <c r="D31" s="9">
        <v>200</v>
      </c>
      <c r="E31" s="9">
        <v>30</v>
      </c>
      <c r="F31" s="9">
        <v>10</v>
      </c>
      <c r="G31" s="9">
        <v>300</v>
      </c>
      <c r="H31" s="9">
        <v>60</v>
      </c>
      <c r="I31" s="9">
        <v>250</v>
      </c>
      <c r="J31" s="9">
        <v>5</v>
      </c>
      <c r="K31" s="9">
        <v>300</v>
      </c>
    </row>
    <row r="32" spans="2:11" ht="16" x14ac:dyDescent="0.2">
      <c r="B32" s="9">
        <v>6</v>
      </c>
      <c r="C32" s="9" t="s">
        <v>22</v>
      </c>
      <c r="D32" s="9">
        <v>100</v>
      </c>
      <c r="E32" s="9">
        <v>15</v>
      </c>
      <c r="F32" s="9">
        <v>20</v>
      </c>
      <c r="G32" s="9">
        <v>330</v>
      </c>
      <c r="H32" s="9">
        <v>40</v>
      </c>
      <c r="I32" s="9">
        <v>1800</v>
      </c>
      <c r="J32" s="9">
        <v>2</v>
      </c>
      <c r="K32" s="9">
        <v>15</v>
      </c>
    </row>
    <row r="33" spans="2:11" ht="16" x14ac:dyDescent="0.2">
      <c r="B33" s="9">
        <v>7</v>
      </c>
      <c r="C33" s="9" t="s">
        <v>23</v>
      </c>
      <c r="D33" s="9">
        <v>150</v>
      </c>
      <c r="E33" s="9">
        <v>25</v>
      </c>
      <c r="F33" s="9">
        <v>100</v>
      </c>
      <c r="G33" s="9">
        <v>120</v>
      </c>
      <c r="H33" s="9">
        <v>30</v>
      </c>
      <c r="I33" s="9">
        <v>270</v>
      </c>
      <c r="J33" s="9">
        <v>7</v>
      </c>
      <c r="K33" s="9">
        <v>150</v>
      </c>
    </row>
    <row r="34" spans="2:11" ht="16" x14ac:dyDescent="0.2">
      <c r="B34" s="9">
        <v>8</v>
      </c>
      <c r="C34" s="9" t="s">
        <v>24</v>
      </c>
      <c r="D34" s="9">
        <v>150</v>
      </c>
      <c r="E34" s="9">
        <v>15</v>
      </c>
      <c r="F34" s="9">
        <v>30</v>
      </c>
      <c r="G34" s="9">
        <v>120</v>
      </c>
      <c r="H34" s="9">
        <v>40</v>
      </c>
      <c r="I34" s="9">
        <v>800</v>
      </c>
      <c r="J34" s="9">
        <v>3</v>
      </c>
      <c r="K34" s="9">
        <v>150</v>
      </c>
    </row>
    <row r="35" spans="2:11" ht="16" x14ac:dyDescent="0.2">
      <c r="B35" s="9">
        <v>9</v>
      </c>
      <c r="C35" s="9" t="s">
        <v>25</v>
      </c>
      <c r="D35" s="9">
        <v>150</v>
      </c>
      <c r="E35" s="9">
        <v>60</v>
      </c>
      <c r="F35" s="9">
        <v>50</v>
      </c>
      <c r="G35" s="9">
        <v>125</v>
      </c>
      <c r="H35" s="9">
        <v>50</v>
      </c>
      <c r="I35" s="9">
        <v>250</v>
      </c>
      <c r="J35" s="9">
        <v>8</v>
      </c>
      <c r="K35" s="9">
        <v>200</v>
      </c>
    </row>
    <row r="39" spans="2:11" ht="30" customHeight="1" x14ac:dyDescent="0.2">
      <c r="B39" s="1" t="s">
        <v>28</v>
      </c>
    </row>
    <row r="41" spans="2:11" ht="15" customHeight="1" x14ac:dyDescent="0.2">
      <c r="B41" s="49" t="s">
        <v>1</v>
      </c>
      <c r="C41" s="49" t="s">
        <v>54</v>
      </c>
      <c r="D41" s="49" t="s">
        <v>55</v>
      </c>
      <c r="E41" s="49" t="s">
        <v>56</v>
      </c>
      <c r="F41" s="49" t="s">
        <v>74</v>
      </c>
    </row>
    <row r="42" spans="2:11" ht="15" customHeight="1" x14ac:dyDescent="0.2">
      <c r="B42" s="49"/>
      <c r="C42" s="49"/>
      <c r="D42" s="49"/>
      <c r="E42" s="49"/>
      <c r="F42" s="49"/>
    </row>
    <row r="43" spans="2:11" ht="15" customHeight="1" x14ac:dyDescent="0.2">
      <c r="B43" s="49"/>
      <c r="C43" s="49"/>
      <c r="D43" s="49"/>
      <c r="E43" s="49"/>
      <c r="F43" s="49"/>
    </row>
    <row r="44" spans="2:11" ht="15.75" customHeight="1" x14ac:dyDescent="0.2">
      <c r="B44" s="49"/>
      <c r="C44" s="49"/>
      <c r="D44" s="49"/>
      <c r="E44" s="49"/>
      <c r="F44" s="49"/>
    </row>
    <row r="45" spans="2:11" ht="16" x14ac:dyDescent="0.2">
      <c r="B45" s="49"/>
      <c r="C45" s="8" t="s">
        <v>7</v>
      </c>
      <c r="D45" s="8" t="s">
        <v>7</v>
      </c>
      <c r="E45" s="8" t="s">
        <v>29</v>
      </c>
      <c r="F45" s="8" t="s">
        <v>13</v>
      </c>
    </row>
    <row r="46" spans="2:11" ht="16" x14ac:dyDescent="0.2">
      <c r="B46" s="9">
        <v>0</v>
      </c>
      <c r="C46" s="9">
        <v>9</v>
      </c>
      <c r="D46" s="9">
        <v>2</v>
      </c>
      <c r="E46" s="9">
        <v>10</v>
      </c>
      <c r="F46" s="9">
        <v>1</v>
      </c>
    </row>
    <row r="47" spans="2:11" ht="16" x14ac:dyDescent="0.2">
      <c r="B47" s="9">
        <v>1</v>
      </c>
      <c r="C47" s="9">
        <v>10</v>
      </c>
      <c r="D47" s="9">
        <v>2.2000000000000002</v>
      </c>
      <c r="E47" s="9">
        <v>20</v>
      </c>
      <c r="F47" s="9">
        <v>2</v>
      </c>
    </row>
    <row r="48" spans="2:11" ht="16" x14ac:dyDescent="0.2">
      <c r="B48" s="9">
        <v>2</v>
      </c>
      <c r="C48" s="9">
        <v>11</v>
      </c>
      <c r="D48" s="9">
        <v>2.4</v>
      </c>
      <c r="E48" s="9">
        <v>30</v>
      </c>
      <c r="F48" s="9">
        <v>3</v>
      </c>
    </row>
    <row r="49" spans="2:6" ht="16" x14ac:dyDescent="0.2">
      <c r="B49" s="9">
        <v>3</v>
      </c>
      <c r="C49" s="9">
        <v>12</v>
      </c>
      <c r="D49" s="9">
        <v>2.2999999999999998</v>
      </c>
      <c r="E49" s="9">
        <v>10</v>
      </c>
      <c r="F49" s="9">
        <v>2</v>
      </c>
    </row>
    <row r="50" spans="2:6" ht="16" x14ac:dyDescent="0.2">
      <c r="B50" s="9">
        <v>4</v>
      </c>
      <c r="C50" s="9">
        <v>9</v>
      </c>
      <c r="D50" s="9">
        <v>2</v>
      </c>
      <c r="E50" s="9">
        <v>20</v>
      </c>
      <c r="F50" s="9">
        <v>1</v>
      </c>
    </row>
    <row r="51" spans="2:6" ht="16" x14ac:dyDescent="0.2">
      <c r="B51" s="9">
        <v>5</v>
      </c>
      <c r="C51" s="9">
        <v>10</v>
      </c>
      <c r="D51" s="9">
        <v>2.2000000000000002</v>
      </c>
      <c r="E51" s="9">
        <v>30</v>
      </c>
      <c r="F51" s="9">
        <v>2</v>
      </c>
    </row>
    <row r="52" spans="2:6" ht="16" x14ac:dyDescent="0.2">
      <c r="B52" s="9">
        <v>6</v>
      </c>
      <c r="C52" s="9">
        <v>11</v>
      </c>
      <c r="D52" s="9">
        <v>2.4</v>
      </c>
      <c r="E52" s="9">
        <v>10</v>
      </c>
      <c r="F52" s="9">
        <v>3</v>
      </c>
    </row>
    <row r="53" spans="2:6" ht="16" x14ac:dyDescent="0.2">
      <c r="B53" s="9">
        <v>7</v>
      </c>
      <c r="C53" s="9">
        <v>12</v>
      </c>
      <c r="D53" s="9">
        <v>3</v>
      </c>
      <c r="E53" s="9">
        <v>20</v>
      </c>
      <c r="F53" s="9">
        <v>2</v>
      </c>
    </row>
    <row r="54" spans="2:6" ht="16" x14ac:dyDescent="0.2">
      <c r="B54" s="9">
        <v>8</v>
      </c>
      <c r="C54" s="9">
        <v>9</v>
      </c>
      <c r="D54" s="9">
        <v>2</v>
      </c>
      <c r="E54" s="9">
        <v>30</v>
      </c>
      <c r="F54" s="9">
        <v>1</v>
      </c>
    </row>
    <row r="55" spans="2:6" ht="16" x14ac:dyDescent="0.2">
      <c r="B55" s="9">
        <v>9</v>
      </c>
      <c r="C55" s="9">
        <v>10</v>
      </c>
      <c r="D55" s="9">
        <v>2.5</v>
      </c>
      <c r="E55" s="9">
        <v>30</v>
      </c>
      <c r="F55" s="9">
        <v>2</v>
      </c>
    </row>
    <row r="59" spans="2:6" ht="24" x14ac:dyDescent="0.2">
      <c r="B59" s="1" t="s">
        <v>82</v>
      </c>
    </row>
    <row r="61" spans="2:6" ht="47" x14ac:dyDescent="0.2">
      <c r="B61" s="13" t="s">
        <v>1</v>
      </c>
      <c r="C61" s="12" t="s">
        <v>90</v>
      </c>
      <c r="D61" s="12" t="s">
        <v>89</v>
      </c>
      <c r="E61" s="12" t="s">
        <v>88</v>
      </c>
      <c r="F61" s="12" t="s">
        <v>83</v>
      </c>
    </row>
    <row r="62" spans="2:6" x14ac:dyDescent="0.2">
      <c r="B62" s="14">
        <v>0</v>
      </c>
      <c r="C62" s="7" t="s">
        <v>84</v>
      </c>
      <c r="D62" s="7" t="s">
        <v>85</v>
      </c>
      <c r="E62" s="7">
        <v>250</v>
      </c>
      <c r="F62" s="7">
        <v>80</v>
      </c>
    </row>
    <row r="63" spans="2:6" x14ac:dyDescent="0.2">
      <c r="B63" s="14">
        <v>1</v>
      </c>
      <c r="C63" s="7" t="s">
        <v>86</v>
      </c>
      <c r="D63" s="7" t="s">
        <v>87</v>
      </c>
      <c r="E63" s="7">
        <v>400</v>
      </c>
      <c r="F63" s="7">
        <v>55</v>
      </c>
    </row>
    <row r="67" spans="2:26" ht="24" x14ac:dyDescent="0.2">
      <c r="B67" s="1" t="s">
        <v>168</v>
      </c>
    </row>
    <row r="69" spans="2:26" x14ac:dyDescent="0.2">
      <c r="B69" s="13" t="s">
        <v>169</v>
      </c>
      <c r="C69" s="46" t="s">
        <v>170</v>
      </c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8"/>
    </row>
    <row r="70" spans="2:26" x14ac:dyDescent="0.2">
      <c r="B70" s="26">
        <v>0.05</v>
      </c>
      <c r="C70" s="6">
        <v>10</v>
      </c>
      <c r="D70" s="6">
        <v>11</v>
      </c>
      <c r="E70" s="6">
        <v>12</v>
      </c>
      <c r="F70" s="6">
        <v>13</v>
      </c>
      <c r="G70" s="6">
        <v>15</v>
      </c>
      <c r="H70" s="6">
        <v>16</v>
      </c>
      <c r="I70" s="6">
        <v>18</v>
      </c>
      <c r="J70" s="6">
        <v>20</v>
      </c>
      <c r="K70" s="6">
        <v>22</v>
      </c>
      <c r="L70" s="6">
        <v>24</v>
      </c>
      <c r="M70" s="6">
        <v>27</v>
      </c>
      <c r="N70" s="6">
        <v>30</v>
      </c>
      <c r="O70" s="6">
        <v>33</v>
      </c>
      <c r="P70" s="6">
        <v>36</v>
      </c>
      <c r="Q70" s="6">
        <v>39</v>
      </c>
      <c r="R70" s="6">
        <v>43</v>
      </c>
      <c r="S70" s="6">
        <v>47</v>
      </c>
      <c r="T70" s="6">
        <v>51</v>
      </c>
      <c r="U70" s="6">
        <v>56</v>
      </c>
      <c r="V70" s="6">
        <v>62</v>
      </c>
      <c r="W70" s="6">
        <v>68</v>
      </c>
      <c r="X70" s="6">
        <v>75</v>
      </c>
      <c r="Y70" s="6">
        <v>82</v>
      </c>
      <c r="Z70" s="6">
        <v>91</v>
      </c>
    </row>
    <row r="71" spans="2:26" x14ac:dyDescent="0.2">
      <c r="B71" s="26">
        <v>0.1</v>
      </c>
      <c r="C71" s="6">
        <v>10</v>
      </c>
      <c r="D71" s="6" t="s">
        <v>70</v>
      </c>
      <c r="E71" s="6">
        <v>12</v>
      </c>
      <c r="F71" s="6" t="s">
        <v>70</v>
      </c>
      <c r="G71" s="6">
        <v>15</v>
      </c>
      <c r="H71" s="6" t="s">
        <v>70</v>
      </c>
      <c r="I71" s="6">
        <v>18</v>
      </c>
      <c r="J71" s="6" t="s">
        <v>70</v>
      </c>
      <c r="K71" s="6">
        <v>22</v>
      </c>
      <c r="L71" s="6" t="s">
        <v>70</v>
      </c>
      <c r="M71" s="6">
        <v>27</v>
      </c>
      <c r="N71" s="6" t="s">
        <v>70</v>
      </c>
      <c r="O71" s="6">
        <v>33</v>
      </c>
      <c r="P71" s="6" t="s">
        <v>70</v>
      </c>
      <c r="Q71" s="6">
        <v>39</v>
      </c>
      <c r="R71" s="6" t="s">
        <v>70</v>
      </c>
      <c r="S71" s="6">
        <v>47</v>
      </c>
      <c r="T71" s="6" t="s">
        <v>70</v>
      </c>
      <c r="U71" s="6">
        <v>56</v>
      </c>
      <c r="V71" s="6" t="s">
        <v>70</v>
      </c>
      <c r="W71" s="6">
        <v>68</v>
      </c>
      <c r="X71" s="6" t="s">
        <v>70</v>
      </c>
      <c r="Y71" s="6">
        <v>82</v>
      </c>
      <c r="Z71" s="6" t="s">
        <v>70</v>
      </c>
    </row>
  </sheetData>
  <mergeCells count="17">
    <mergeCell ref="D4:D6"/>
    <mergeCell ref="E4:E6"/>
    <mergeCell ref="F4:F6"/>
    <mergeCell ref="B4:B8"/>
    <mergeCell ref="C7:C8"/>
    <mergeCell ref="D7:D8"/>
    <mergeCell ref="E7:E8"/>
    <mergeCell ref="F7:F8"/>
    <mergeCell ref="C4:C6"/>
    <mergeCell ref="C69:Z69"/>
    <mergeCell ref="F41:F44"/>
    <mergeCell ref="B24:B25"/>
    <mergeCell ref="C24:C25"/>
    <mergeCell ref="B41:B45"/>
    <mergeCell ref="C41:C44"/>
    <mergeCell ref="D41:D44"/>
    <mergeCell ref="E41:E4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Расчёт</vt:lpstr>
      <vt:lpstr>Таблицы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Microsoft Office</cp:lastModifiedBy>
  <dcterms:created xsi:type="dcterms:W3CDTF">2017-09-17T08:29:07Z</dcterms:created>
  <dcterms:modified xsi:type="dcterms:W3CDTF">2020-12-01T17:54:17Z</dcterms:modified>
</cp:coreProperties>
</file>